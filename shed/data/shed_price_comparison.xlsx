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<sst xmlns="http://schemas.openxmlformats.org/spreadsheetml/2006/main" count="133" uniqueCount="117">
  <si>
    <t xml:space="preserve">SHED MATERIALS PRICE COMPARISON - 8' x 10' Shed with LP SmartSide Siding</t>
  </si>
  <si>
    <t xml:space="preserve">Zip Code: 95973 (Chico, CA Area) - Prices as of January 2025 (Estimates)</t>
  </si>
  <si>
    <t xml:space="preserve">NOTE: Prices vary by location and change frequently. Verify current prices before purchasing.</t>
  </si>
  <si>
    <t xml:space="preserve">Item</t>
  </si>
  <si>
    <t xml:space="preserve">Size</t>
  </si>
  <si>
    <t xml:space="preserve">Qty</t>
  </si>
  <si>
    <t xml:space="preserve">HD Unit $</t>
  </si>
  <si>
    <t xml:space="preserve">HD Total</t>
  </si>
  <si>
    <t xml:space="preserve">Lowes Unit $</t>
  </si>
  <si>
    <t xml:space="preserve">Lowes Total</t>
  </si>
  <si>
    <t xml:space="preserve">Notes</t>
  </si>
  <si>
    <t xml:space="preserve">FOUNDATION</t>
  </si>
  <si>
    <t xml:space="preserve">Concrete Deck Blocks</t>
  </si>
  <si>
    <t xml:space="preserve">12"x12"</t>
  </si>
  <si>
    <t xml:space="preserve">4 corners + 8 mid-span</t>
  </si>
  <si>
    <t xml:space="preserve">Pea Gravel</t>
  </si>
  <si>
    <t xml:space="preserve">0.5 cu ft bag</t>
  </si>
  <si>
    <t xml:space="preserve">For leveling</t>
  </si>
  <si>
    <t xml:space="preserve">Landscape Fabric</t>
  </si>
  <si>
    <t xml:space="preserve">3'x50' roll</t>
  </si>
  <si>
    <t xml:space="preserve">Weed barrier (optional)</t>
  </si>
  <si>
    <t xml:space="preserve">FLOOR FRAME - Pressure Treated Lumber</t>
  </si>
  <si>
    <t xml:space="preserve">2x6 PT Rim Joist</t>
  </si>
  <si>
    <t xml:space="preserve">10'</t>
  </si>
  <si>
    <t xml:space="preserve">Ground contact</t>
  </si>
  <si>
    <t xml:space="preserve">2x6 PT Floor Joists</t>
  </si>
  <si>
    <t xml:space="preserve">8'</t>
  </si>
  <si>
    <t xml:space="preserve">Cut to 7'9"</t>
  </si>
  <si>
    <t xml:space="preserve">WALL FRAMING - SPF/Hem-Fir Lumber</t>
  </si>
  <si>
    <t xml:space="preserve">2x4 Studs</t>
  </si>
  <si>
    <t xml:space="preserve">Wall studs, cut to 6'</t>
  </si>
  <si>
    <t xml:space="preserve">2x4 Plates</t>
  </si>
  <si>
    <t xml:space="preserve">Top/bottom plates</t>
  </si>
  <si>
    <t xml:space="preserve">2x6 Header</t>
  </si>
  <si>
    <t xml:space="preserve">Door header</t>
  </si>
  <si>
    <t xml:space="preserve">ROOF FRAMING</t>
  </si>
  <si>
    <t xml:space="preserve">2x6 Ridge Board</t>
  </si>
  <si>
    <t xml:space="preserve">Ridge</t>
  </si>
  <si>
    <t xml:space="preserve">2x4 Rafters</t>
  </si>
  <si>
    <t xml:space="preserve">6'</t>
  </si>
  <si>
    <t xml:space="preserve">May need 8' and cut</t>
  </si>
  <si>
    <t xml:space="preserve">2x4 Collar Ties/Gable</t>
  </si>
  <si>
    <t xml:space="preserve">Misc framing</t>
  </si>
  <si>
    <t xml:space="preserve">1x6 Fascia</t>
  </si>
  <si>
    <t xml:space="preserve">Pine/SPF</t>
  </si>
  <si>
    <t xml:space="preserve">SHEATHING (Floor &amp; Roof Only)</t>
  </si>
  <si>
    <t xml:space="preserve">3/4" OSB T&amp;G Subfloor</t>
  </si>
  <si>
    <t xml:space="preserve">4'x8'</t>
  </si>
  <si>
    <t xml:space="preserve">Floor deck</t>
  </si>
  <si>
    <t xml:space="preserve">7/16" OSB Roof Sheathing</t>
  </si>
  <si>
    <t xml:space="preserve">Roof only</t>
  </si>
  <si>
    <t xml:space="preserve">SIDING - LP SmartSide Cedar Texture 8" OC Panel</t>
  </si>
  <si>
    <t xml:space="preserve">LP SmartSide Panel</t>
  </si>
  <si>
    <t xml:space="preserve">3/8"x4'x8'</t>
  </si>
  <si>
    <t xml:space="preserve">Structural - no wall OSB needed!</t>
  </si>
  <si>
    <t xml:space="preserve">Corner Trim 1x4</t>
  </si>
  <si>
    <t xml:space="preserve">4 corners x 2 boards</t>
  </si>
  <si>
    <t xml:space="preserve">Z-Flashing</t>
  </si>
  <si>
    <t xml:space="preserve">Horizontal joints</t>
  </si>
  <si>
    <t xml:space="preserve">Caulk (paintable)</t>
  </si>
  <si>
    <t xml:space="preserve">Tube</t>
  </si>
  <si>
    <t xml:space="preserve">Joints &amp; trim</t>
  </si>
  <si>
    <t xml:space="preserve">ROOFING MATERIALS</t>
  </si>
  <si>
    <t xml:space="preserve">Roofing Felt 15#</t>
  </si>
  <si>
    <t xml:space="preserve">Roll</t>
  </si>
  <si>
    <t xml:space="preserve">Underlayment</t>
  </si>
  <si>
    <t xml:space="preserve">3-Tab Shingles</t>
  </si>
  <si>
    <t xml:space="preserve">Bundle</t>
  </si>
  <si>
    <t xml:space="preserve">~100 sq ft total</t>
  </si>
  <si>
    <t xml:space="preserve">Drip Edge</t>
  </si>
  <si>
    <t xml:space="preserve">Aluminum</t>
  </si>
  <si>
    <t xml:space="preserve">DOOR</t>
  </si>
  <si>
    <t xml:space="preserve">Prehung Ext Door 36"</t>
  </si>
  <si>
    <t xml:space="preserve">36"x80"</t>
  </si>
  <si>
    <t xml:space="preserve">Steel or fiberglass</t>
  </si>
  <si>
    <t xml:space="preserve">Door Trim 1x4</t>
  </si>
  <si>
    <t xml:space="preserve">Interior casing</t>
  </si>
  <si>
    <t xml:space="preserve">HARDWARE &amp; FASTENERS</t>
  </si>
  <si>
    <t xml:space="preserve">16d Framing Nails</t>
  </si>
  <si>
    <t xml:space="preserve">5 lb box</t>
  </si>
  <si>
    <t xml:space="preserve">Galvanized</t>
  </si>
  <si>
    <t xml:space="preserve">8d Siding Nails</t>
  </si>
  <si>
    <t xml:space="preserve">Hot-dip galvanized</t>
  </si>
  <si>
    <t xml:space="preserve">Roofing Nails</t>
  </si>
  <si>
    <t xml:space="preserve">Joist Hangers 2x6</t>
  </si>
  <si>
    <t xml:space="preserve">Each</t>
  </si>
  <si>
    <t xml:space="preserve">Simpson LUS26</t>
  </si>
  <si>
    <t xml:space="preserve">Hurricane Ties</t>
  </si>
  <si>
    <t xml:space="preserve">Simpson H2.5A</t>
  </si>
  <si>
    <t xml:space="preserve">Construction Adhesive</t>
  </si>
  <si>
    <t xml:space="preserve">PL Premium</t>
  </si>
  <si>
    <t xml:space="preserve">Deck Screws 3"</t>
  </si>
  <si>
    <t xml:space="preserve">1 lb box</t>
  </si>
  <si>
    <t xml:space="preserve">For misc</t>
  </si>
  <si>
    <t xml:space="preserve">SUBTOTAL (Materials)</t>
  </si>
  <si>
    <t xml:space="preserve">Sales Tax (est. 7.25% CA)</t>
  </si>
  <si>
    <t xml:space="preserve">Waste Factor (+10%)</t>
  </si>
  <si>
    <t xml:space="preserve">ESTIMATED GRAND TOTAL</t>
  </si>
  <si>
    <t xml:space="preserve">FOUNDATION LAYOUT:</t>
  </si>
  <si>
    <t xml:space="preserve">• 12 concrete deck blocks total: 4 corners + 8 mid-span supports</t>
  </si>
  <si>
    <t xml:space="preserve">• Blocks spaced ~4-5' apart for proper floor support</t>
  </si>
  <si>
    <t xml:space="preserve">• Use pea gravel under blocks for leveling and drainage</t>
  </si>
  <si>
    <t xml:space="preserve">• Landscape fabric prevents weeds growing up under shed</t>
  </si>
  <si>
    <t xml:space="preserve">LP SMARTSIDE SIDING INFO:</t>
  </si>
  <si>
    <t xml:space="preserve">• LP SmartSide 8" OC Panel: $53.00/panel at Home Depot (Model #27874)</t>
  </si>
  <si>
    <t xml:space="preserve">• Panels are STRUCTURAL - install directly over studs, no separate wall OSB</t>
  </si>
  <si>
    <t xml:space="preserve">• 8 panels cover ~256 sq ft (your walls need ~208 sq ft + waste)</t>
  </si>
  <si>
    <t xml:space="preserve">• Comes primed - paint with quality exterior latex paint</t>
  </si>
  <si>
    <t xml:space="preserve">COST SUMMARY:</t>
  </si>
  <si>
    <t xml:space="preserve">• Foundation: ~$135</t>
  </si>
  <si>
    <t xml:space="preserve">• LP SmartSide Siding: ~$424 (8 panels)</t>
  </si>
  <si>
    <t xml:space="preserve">• Structure &amp; Roofing: ~$700-800</t>
  </si>
  <si>
    <t xml:space="preserve">• Door &amp; Hardware: ~$350</t>
  </si>
  <si>
    <t xml:space="preserve">IMPORTANT NOTES:</t>
  </si>
  <si>
    <t xml:space="preserve">• Prices shown are ESTIMATES - verify at homedepot.com with zip 95973</t>
  </si>
  <si>
    <t xml:space="preserve">• Permit fees NOT included - check with Butte County</t>
  </si>
  <si>
    <t xml:space="preserve">• Both HD and Lowe's price-match each other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</si>
</sst>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color rgb="FFFF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7" min="4" style="0" width="12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s">
        <v>12</v>
      </c>
      <c r="B7" s="6" t="s">
        <v>13</v>
      </c>
      <c r="C7" s="7" t="n">
        <v>12</v>
      </c>
      <c r="D7" s="8" t="n">
        <v>7.98</v>
      </c>
      <c r="E7" s="8" t="n">
        <f aca="false">C7*D7</f>
        <v>95.76</v>
      </c>
      <c r="F7" s="8" t="n">
        <v>8.28</v>
      </c>
      <c r="G7" s="8" t="n">
        <f aca="false">C7*F7</f>
        <v>99.36</v>
      </c>
      <c r="H7" s="6" t="s">
        <v>14</v>
      </c>
    </row>
    <row r="8" customFormat="false" ht="15" hidden="false" customHeight="false" outlineLevel="0" collapsed="false">
      <c r="A8" s="6" t="s">
        <v>15</v>
      </c>
      <c r="B8" s="6" t="s">
        <v>16</v>
      </c>
      <c r="C8" s="7" t="n">
        <v>3</v>
      </c>
      <c r="D8" s="8" t="n">
        <v>4.98</v>
      </c>
      <c r="E8" s="8" t="n">
        <f aca="false">C8*D8</f>
        <v>14.94</v>
      </c>
      <c r="F8" s="8" t="n">
        <v>5.28</v>
      </c>
      <c r="G8" s="8" t="n">
        <f aca="false">C8*F8</f>
        <v>15.84</v>
      </c>
      <c r="H8" s="6" t="s">
        <v>17</v>
      </c>
    </row>
    <row r="9" customFormat="false" ht="15" hidden="false" customHeight="false" outlineLevel="0" collapsed="false">
      <c r="A9" s="6" t="s">
        <v>18</v>
      </c>
      <c r="B9" s="6" t="s">
        <v>19</v>
      </c>
      <c r="C9" s="7" t="n">
        <v>1</v>
      </c>
      <c r="D9" s="8" t="n">
        <v>19.98</v>
      </c>
      <c r="E9" s="8" t="n">
        <f aca="false">C9*D9</f>
        <v>19.98</v>
      </c>
      <c r="F9" s="8" t="n">
        <v>21.98</v>
      </c>
      <c r="G9" s="8" t="n">
        <f aca="false">C9*F9</f>
        <v>21.98</v>
      </c>
      <c r="H9" s="6" t="s">
        <v>20</v>
      </c>
    </row>
    <row r="11" customFormat="false" ht="15" hidden="false" customHeight="false" outlineLevel="0" collapsed="false">
      <c r="A11" s="5" t="s">
        <v>21</v>
      </c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6" t="s">
        <v>22</v>
      </c>
      <c r="B12" s="6" t="s">
        <v>23</v>
      </c>
      <c r="C12" s="7" t="n">
        <v>3</v>
      </c>
      <c r="D12" s="8" t="n">
        <v>12.98</v>
      </c>
      <c r="E12" s="8" t="n">
        <f aca="false">C12*D12</f>
        <v>38.94</v>
      </c>
      <c r="F12" s="8" t="n">
        <v>13.48</v>
      </c>
      <c r="G12" s="8" t="n">
        <f aca="false">C12*F12</f>
        <v>40.44</v>
      </c>
      <c r="H12" s="6" t="s">
        <v>24</v>
      </c>
    </row>
    <row r="13" customFormat="false" ht="15" hidden="false" customHeight="false" outlineLevel="0" collapsed="false">
      <c r="A13" s="6" t="s">
        <v>25</v>
      </c>
      <c r="B13" s="6" t="s">
        <v>26</v>
      </c>
      <c r="C13" s="7" t="n">
        <v>10</v>
      </c>
      <c r="D13" s="8" t="n">
        <v>9.98</v>
      </c>
      <c r="E13" s="8" t="n">
        <f aca="false">C13*D13</f>
        <v>99.8</v>
      </c>
      <c r="F13" s="8" t="n">
        <v>10.28</v>
      </c>
      <c r="G13" s="8" t="n">
        <f aca="false">C13*F13</f>
        <v>102.8</v>
      </c>
      <c r="H13" s="6" t="s">
        <v>27</v>
      </c>
    </row>
    <row r="15" customFormat="false" ht="15" hidden="false" customHeight="false" outlineLevel="0" collapsed="false">
      <c r="A15" s="5" t="s">
        <v>28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6" t="s">
        <v>29</v>
      </c>
      <c r="B16" s="6" t="s">
        <v>26</v>
      </c>
      <c r="C16" s="7" t="n">
        <v>20</v>
      </c>
      <c r="D16" s="8" t="n">
        <v>4.28</v>
      </c>
      <c r="E16" s="8" t="n">
        <f aca="false">C16*D16</f>
        <v>85.6</v>
      </c>
      <c r="F16" s="8" t="n">
        <v>4.48</v>
      </c>
      <c r="G16" s="8" t="n">
        <f aca="false">C16*F16</f>
        <v>89.6</v>
      </c>
      <c r="H16" s="6" t="s">
        <v>30</v>
      </c>
    </row>
    <row r="17" customFormat="false" ht="15" hidden="false" customHeight="false" outlineLevel="0" collapsed="false">
      <c r="A17" s="6" t="s">
        <v>31</v>
      </c>
      <c r="B17" s="6" t="s">
        <v>23</v>
      </c>
      <c r="C17" s="7" t="n">
        <v>12</v>
      </c>
      <c r="D17" s="8" t="n">
        <v>6.48</v>
      </c>
      <c r="E17" s="8" t="n">
        <f aca="false">C17*D17</f>
        <v>77.76</v>
      </c>
      <c r="F17" s="8" t="n">
        <v>6.78</v>
      </c>
      <c r="G17" s="8" t="n">
        <f aca="false">C17*F17</f>
        <v>81.36</v>
      </c>
      <c r="H17" s="6" t="s">
        <v>32</v>
      </c>
    </row>
    <row r="18" customFormat="false" ht="15" hidden="false" customHeight="false" outlineLevel="0" collapsed="false">
      <c r="A18" s="6" t="s">
        <v>33</v>
      </c>
      <c r="B18" s="6" t="s">
        <v>26</v>
      </c>
      <c r="C18" s="7" t="n">
        <v>2</v>
      </c>
      <c r="D18" s="8" t="n">
        <v>8.48</v>
      </c>
      <c r="E18" s="8" t="n">
        <f aca="false">C18*D18</f>
        <v>16.96</v>
      </c>
      <c r="F18" s="8" t="n">
        <v>8.78</v>
      </c>
      <c r="G18" s="8" t="n">
        <f aca="false">C18*F18</f>
        <v>17.56</v>
      </c>
      <c r="H18" s="6" t="s">
        <v>34</v>
      </c>
    </row>
    <row r="20" customFormat="false" ht="15" hidden="false" customHeight="false" outlineLevel="0" collapsed="false">
      <c r="A20" s="5" t="s">
        <v>35</v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6" t="s">
        <v>36</v>
      </c>
      <c r="B21" s="6" t="s">
        <v>23</v>
      </c>
      <c r="C21" s="7" t="n">
        <v>1</v>
      </c>
      <c r="D21" s="8" t="n">
        <v>10.98</v>
      </c>
      <c r="E21" s="8" t="n">
        <f aca="false">C21*D21</f>
        <v>10.98</v>
      </c>
      <c r="F21" s="8" t="n">
        <v>11.28</v>
      </c>
      <c r="G21" s="8" t="n">
        <f aca="false">C21*F21</f>
        <v>11.28</v>
      </c>
      <c r="H21" s="6" t="s">
        <v>37</v>
      </c>
    </row>
    <row r="22" customFormat="false" ht="15" hidden="false" customHeight="false" outlineLevel="0" collapsed="false">
      <c r="A22" s="6" t="s">
        <v>38</v>
      </c>
      <c r="B22" s="6" t="s">
        <v>39</v>
      </c>
      <c r="C22" s="7" t="n">
        <v>18</v>
      </c>
      <c r="D22" s="8" t="n">
        <v>3.68</v>
      </c>
      <c r="E22" s="8" t="n">
        <f aca="false">C22*D22</f>
        <v>66.24</v>
      </c>
      <c r="F22" s="8" t="n">
        <v>3.88</v>
      </c>
      <c r="G22" s="8" t="n">
        <f aca="false">C22*F22</f>
        <v>69.84</v>
      </c>
      <c r="H22" s="6" t="s">
        <v>40</v>
      </c>
    </row>
    <row r="23" customFormat="false" ht="15" hidden="false" customHeight="false" outlineLevel="0" collapsed="false">
      <c r="A23" s="6" t="s">
        <v>41</v>
      </c>
      <c r="B23" s="6" t="s">
        <v>26</v>
      </c>
      <c r="C23" s="7" t="n">
        <v>6</v>
      </c>
      <c r="D23" s="8" t="n">
        <v>4.28</v>
      </c>
      <c r="E23" s="8" t="n">
        <f aca="false">C23*D23</f>
        <v>25.68</v>
      </c>
      <c r="F23" s="8" t="n">
        <v>4.48</v>
      </c>
      <c r="G23" s="8" t="n">
        <f aca="false">C23*F23</f>
        <v>26.88</v>
      </c>
      <c r="H23" s="6" t="s">
        <v>42</v>
      </c>
    </row>
    <row r="24" customFormat="false" ht="15" hidden="false" customHeight="false" outlineLevel="0" collapsed="false">
      <c r="A24" s="6" t="s">
        <v>43</v>
      </c>
      <c r="B24" s="6" t="s">
        <v>23</v>
      </c>
      <c r="C24" s="7" t="n">
        <v>4</v>
      </c>
      <c r="D24" s="8" t="n">
        <v>9.98</v>
      </c>
      <c r="E24" s="8" t="n">
        <f aca="false">C24*D24</f>
        <v>39.92</v>
      </c>
      <c r="F24" s="8" t="n">
        <v>10.48</v>
      </c>
      <c r="G24" s="8" t="n">
        <f aca="false">C24*F24</f>
        <v>41.92</v>
      </c>
      <c r="H24" s="6" t="s">
        <v>44</v>
      </c>
    </row>
    <row r="26" customFormat="false" ht="15" hidden="false" customHeight="false" outlineLevel="0" collapsed="false">
      <c r="A26" s="5" t="s">
        <v>45</v>
      </c>
      <c r="B26" s="5"/>
      <c r="C26" s="5"/>
      <c r="D26" s="5"/>
      <c r="E26" s="5"/>
      <c r="F26" s="5"/>
      <c r="G26" s="5"/>
      <c r="H26" s="5"/>
    </row>
    <row r="27" customFormat="false" ht="15" hidden="false" customHeight="false" outlineLevel="0" collapsed="false">
      <c r="A27" s="6" t="s">
        <v>46</v>
      </c>
      <c r="B27" s="6" t="s">
        <v>47</v>
      </c>
      <c r="C27" s="7" t="n">
        <v>3</v>
      </c>
      <c r="D27" s="8" t="n">
        <v>32.98</v>
      </c>
      <c r="E27" s="8" t="n">
        <f aca="false">C27*D27</f>
        <v>98.94</v>
      </c>
      <c r="F27" s="8" t="n">
        <v>33.48</v>
      </c>
      <c r="G27" s="8" t="n">
        <f aca="false">C27*F27</f>
        <v>100.44</v>
      </c>
      <c r="H27" s="6" t="s">
        <v>48</v>
      </c>
    </row>
    <row r="28" customFormat="false" ht="15" hidden="false" customHeight="false" outlineLevel="0" collapsed="false">
      <c r="A28" s="6" t="s">
        <v>49</v>
      </c>
      <c r="B28" s="6" t="s">
        <v>47</v>
      </c>
      <c r="C28" s="7" t="n">
        <v>5</v>
      </c>
      <c r="D28" s="8" t="n">
        <v>15.98</v>
      </c>
      <c r="E28" s="8" t="n">
        <f aca="false">C28*D28</f>
        <v>79.9</v>
      </c>
      <c r="F28" s="8" t="n">
        <v>16.28</v>
      </c>
      <c r="G28" s="8" t="n">
        <f aca="false">C28*F28</f>
        <v>81.4</v>
      </c>
      <c r="H28" s="6" t="s">
        <v>50</v>
      </c>
    </row>
    <row r="30" customFormat="false" ht="15" hidden="false" customHeight="false" outlineLevel="0" collapsed="false">
      <c r="A30" s="5" t="s">
        <v>51</v>
      </c>
      <c r="B30" s="5"/>
      <c r="C30" s="5"/>
      <c r="D30" s="5"/>
      <c r="E30" s="5"/>
      <c r="F30" s="5"/>
      <c r="G30" s="5"/>
      <c r="H30" s="5"/>
    </row>
    <row r="31" customFormat="false" ht="15" hidden="false" customHeight="false" outlineLevel="0" collapsed="false">
      <c r="A31" s="9" t="s">
        <v>52</v>
      </c>
      <c r="B31" s="9" t="s">
        <v>53</v>
      </c>
      <c r="C31" s="10" t="n">
        <v>8</v>
      </c>
      <c r="D31" s="11" t="n">
        <v>53</v>
      </c>
      <c r="E31" s="11" t="n">
        <f aca="false">C31*D31</f>
        <v>424</v>
      </c>
      <c r="F31" s="11" t="n">
        <v>54.98</v>
      </c>
      <c r="G31" s="11" t="n">
        <f aca="false">C31*F31</f>
        <v>439.84</v>
      </c>
      <c r="H31" s="9" t="s">
        <v>54</v>
      </c>
    </row>
    <row r="32" customFormat="false" ht="15" hidden="false" customHeight="false" outlineLevel="0" collapsed="false">
      <c r="A32" s="9" t="s">
        <v>55</v>
      </c>
      <c r="B32" s="9" t="s">
        <v>26</v>
      </c>
      <c r="C32" s="10" t="n">
        <v>8</v>
      </c>
      <c r="D32" s="11" t="n">
        <v>6.98</v>
      </c>
      <c r="E32" s="11" t="n">
        <f aca="false">C32*D32</f>
        <v>55.84</v>
      </c>
      <c r="F32" s="11" t="n">
        <v>7.28</v>
      </c>
      <c r="G32" s="11" t="n">
        <f aca="false">C32*F32</f>
        <v>58.24</v>
      </c>
      <c r="H32" s="9" t="s">
        <v>56</v>
      </c>
    </row>
    <row r="33" customFormat="false" ht="15" hidden="false" customHeight="false" outlineLevel="0" collapsed="false">
      <c r="A33" s="9" t="s">
        <v>57</v>
      </c>
      <c r="B33" s="9" t="s">
        <v>23</v>
      </c>
      <c r="C33" s="10" t="n">
        <v>2</v>
      </c>
      <c r="D33" s="11" t="n">
        <v>8.98</v>
      </c>
      <c r="E33" s="11" t="n">
        <f aca="false">C33*D33</f>
        <v>17.96</v>
      </c>
      <c r="F33" s="11" t="n">
        <v>9.28</v>
      </c>
      <c r="G33" s="11" t="n">
        <f aca="false">C33*F33</f>
        <v>18.56</v>
      </c>
      <c r="H33" s="9" t="s">
        <v>58</v>
      </c>
    </row>
    <row r="34" customFormat="false" ht="15" hidden="false" customHeight="false" outlineLevel="0" collapsed="false">
      <c r="A34" s="9" t="s">
        <v>59</v>
      </c>
      <c r="B34" s="9" t="s">
        <v>60</v>
      </c>
      <c r="C34" s="10" t="n">
        <v>3</v>
      </c>
      <c r="D34" s="11" t="n">
        <v>6.98</v>
      </c>
      <c r="E34" s="11" t="n">
        <f aca="false">C34*D34</f>
        <v>20.94</v>
      </c>
      <c r="F34" s="11" t="n">
        <v>7.28</v>
      </c>
      <c r="G34" s="11" t="n">
        <f aca="false">C34*F34</f>
        <v>21.84</v>
      </c>
      <c r="H34" s="9" t="s">
        <v>61</v>
      </c>
    </row>
    <row r="36" customFormat="false" ht="15" hidden="false" customHeight="false" outlineLevel="0" collapsed="false">
      <c r="A36" s="5" t="s">
        <v>62</v>
      </c>
      <c r="B36" s="5"/>
      <c r="C36" s="5"/>
      <c r="D36" s="5"/>
      <c r="E36" s="5"/>
      <c r="F36" s="5"/>
      <c r="G36" s="5"/>
      <c r="H36" s="5"/>
    </row>
    <row r="37" customFormat="false" ht="15" hidden="false" customHeight="false" outlineLevel="0" collapsed="false">
      <c r="A37" s="6" t="s">
        <v>63</v>
      </c>
      <c r="B37" s="6" t="s">
        <v>64</v>
      </c>
      <c r="C37" s="7" t="n">
        <v>1</v>
      </c>
      <c r="D37" s="8" t="n">
        <v>24.98</v>
      </c>
      <c r="E37" s="8" t="n">
        <f aca="false">C37*D37</f>
        <v>24.98</v>
      </c>
      <c r="F37" s="8" t="n">
        <v>25.48</v>
      </c>
      <c r="G37" s="8" t="n">
        <f aca="false">C37*F37</f>
        <v>25.48</v>
      </c>
      <c r="H37" s="6" t="s">
        <v>65</v>
      </c>
    </row>
    <row r="38" customFormat="false" ht="15" hidden="false" customHeight="false" outlineLevel="0" collapsed="false">
      <c r="A38" s="6" t="s">
        <v>66</v>
      </c>
      <c r="B38" s="6" t="s">
        <v>67</v>
      </c>
      <c r="C38" s="7" t="n">
        <v>3</v>
      </c>
      <c r="D38" s="8" t="n">
        <v>32.98</v>
      </c>
      <c r="E38" s="8" t="n">
        <f aca="false">C38*D38</f>
        <v>98.94</v>
      </c>
      <c r="F38" s="8" t="n">
        <v>33.48</v>
      </c>
      <c r="G38" s="8" t="n">
        <f aca="false">C38*F38</f>
        <v>100.44</v>
      </c>
      <c r="H38" s="6" t="s">
        <v>68</v>
      </c>
    </row>
    <row r="39" customFormat="false" ht="15" hidden="false" customHeight="false" outlineLevel="0" collapsed="false">
      <c r="A39" s="6" t="s">
        <v>69</v>
      </c>
      <c r="B39" s="6" t="s">
        <v>23</v>
      </c>
      <c r="C39" s="7" t="n">
        <v>4</v>
      </c>
      <c r="D39" s="8" t="n">
        <v>5.98</v>
      </c>
      <c r="E39" s="8" t="n">
        <f aca="false">C39*D39</f>
        <v>23.92</v>
      </c>
      <c r="F39" s="8" t="n">
        <v>6.28</v>
      </c>
      <c r="G39" s="8" t="n">
        <f aca="false">C39*F39</f>
        <v>25.12</v>
      </c>
      <c r="H39" s="6" t="s">
        <v>70</v>
      </c>
    </row>
    <row r="41" customFormat="false" ht="15" hidden="false" customHeight="false" outlineLevel="0" collapsed="false">
      <c r="A41" s="5" t="s">
        <v>71</v>
      </c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6" t="s">
        <v>72</v>
      </c>
      <c r="B42" s="6" t="s">
        <v>73</v>
      </c>
      <c r="C42" s="7" t="n">
        <v>1</v>
      </c>
      <c r="D42" s="8" t="n">
        <v>248</v>
      </c>
      <c r="E42" s="8" t="n">
        <f aca="false">C42*D42</f>
        <v>248</v>
      </c>
      <c r="F42" s="8" t="n">
        <v>258</v>
      </c>
      <c r="G42" s="8" t="n">
        <f aca="false">C42*F42</f>
        <v>258</v>
      </c>
      <c r="H42" s="6" t="s">
        <v>74</v>
      </c>
    </row>
    <row r="43" customFormat="false" ht="15" hidden="false" customHeight="false" outlineLevel="0" collapsed="false">
      <c r="A43" s="6" t="s">
        <v>75</v>
      </c>
      <c r="B43" s="6" t="s">
        <v>26</v>
      </c>
      <c r="C43" s="7" t="n">
        <v>3</v>
      </c>
      <c r="D43" s="8" t="n">
        <v>6.98</v>
      </c>
      <c r="E43" s="8" t="n">
        <f aca="false">C43*D43</f>
        <v>20.94</v>
      </c>
      <c r="F43" s="8" t="n">
        <v>7.28</v>
      </c>
      <c r="G43" s="8" t="n">
        <f aca="false">C43*F43</f>
        <v>21.84</v>
      </c>
      <c r="H43" s="6" t="s">
        <v>76</v>
      </c>
    </row>
    <row r="45" customFormat="false" ht="15" hidden="false" customHeight="false" outlineLevel="0" collapsed="false">
      <c r="A45" s="5" t="s">
        <v>77</v>
      </c>
      <c r="B45" s="5"/>
      <c r="C45" s="5"/>
      <c r="D45" s="5"/>
      <c r="E45" s="5"/>
      <c r="F45" s="5"/>
      <c r="G45" s="5"/>
      <c r="H45" s="5"/>
    </row>
    <row r="46" customFormat="false" ht="15" hidden="false" customHeight="false" outlineLevel="0" collapsed="false">
      <c r="A46" s="6" t="s">
        <v>78</v>
      </c>
      <c r="B46" s="6" t="s">
        <v>79</v>
      </c>
      <c r="C46" s="7" t="n">
        <v>1</v>
      </c>
      <c r="D46" s="8" t="n">
        <v>12.98</v>
      </c>
      <c r="E46" s="8" t="n">
        <f aca="false">C46*D46</f>
        <v>12.98</v>
      </c>
      <c r="F46" s="8" t="n">
        <v>13.48</v>
      </c>
      <c r="G46" s="8" t="n">
        <f aca="false">C46*F46</f>
        <v>13.48</v>
      </c>
      <c r="H46" s="6" t="s">
        <v>80</v>
      </c>
    </row>
    <row r="47" customFormat="false" ht="15" hidden="false" customHeight="false" outlineLevel="0" collapsed="false">
      <c r="A47" s="6" t="s">
        <v>81</v>
      </c>
      <c r="B47" s="6" t="s">
        <v>79</v>
      </c>
      <c r="C47" s="7" t="n">
        <v>1</v>
      </c>
      <c r="D47" s="8" t="n">
        <v>10.98</v>
      </c>
      <c r="E47" s="8" t="n">
        <f aca="false">C47*D47</f>
        <v>10.98</v>
      </c>
      <c r="F47" s="8" t="n">
        <v>11.28</v>
      </c>
      <c r="G47" s="8" t="n">
        <f aca="false">C47*F47</f>
        <v>11.28</v>
      </c>
      <c r="H47" s="6" t="s">
        <v>82</v>
      </c>
    </row>
    <row r="48" customFormat="false" ht="15" hidden="false" customHeight="false" outlineLevel="0" collapsed="false">
      <c r="A48" s="6" t="s">
        <v>83</v>
      </c>
      <c r="B48" s="6" t="s">
        <v>79</v>
      </c>
      <c r="C48" s="7" t="n">
        <v>1</v>
      </c>
      <c r="D48" s="8" t="n">
        <v>9.98</v>
      </c>
      <c r="E48" s="8" t="n">
        <f aca="false">C48*D48</f>
        <v>9.98</v>
      </c>
      <c r="F48" s="8" t="n">
        <v>10.28</v>
      </c>
      <c r="G48" s="8" t="n">
        <f aca="false">C48*F48</f>
        <v>10.28</v>
      </c>
      <c r="H48" s="6" t="s">
        <v>80</v>
      </c>
    </row>
    <row r="49" customFormat="false" ht="15" hidden="false" customHeight="false" outlineLevel="0" collapsed="false">
      <c r="A49" s="6" t="s">
        <v>84</v>
      </c>
      <c r="B49" s="6" t="s">
        <v>85</v>
      </c>
      <c r="C49" s="7" t="n">
        <v>8</v>
      </c>
      <c r="D49" s="8" t="n">
        <v>2.48</v>
      </c>
      <c r="E49" s="8" t="n">
        <f aca="false">C49*D49</f>
        <v>19.84</v>
      </c>
      <c r="F49" s="8" t="n">
        <v>2.58</v>
      </c>
      <c r="G49" s="8" t="n">
        <f aca="false">C49*F49</f>
        <v>20.64</v>
      </c>
      <c r="H49" s="6" t="s">
        <v>86</v>
      </c>
    </row>
    <row r="50" customFormat="false" ht="15" hidden="false" customHeight="false" outlineLevel="0" collapsed="false">
      <c r="A50" s="6" t="s">
        <v>87</v>
      </c>
      <c r="B50" s="6" t="s">
        <v>85</v>
      </c>
      <c r="C50" s="7" t="n">
        <v>18</v>
      </c>
      <c r="D50" s="8" t="n">
        <v>1.68</v>
      </c>
      <c r="E50" s="8" t="n">
        <f aca="false">C50*D50</f>
        <v>30.24</v>
      </c>
      <c r="F50" s="8" t="n">
        <v>1.78</v>
      </c>
      <c r="G50" s="8" t="n">
        <f aca="false">C50*F50</f>
        <v>32.04</v>
      </c>
      <c r="H50" s="6" t="s">
        <v>88</v>
      </c>
    </row>
    <row r="51" customFormat="false" ht="15" hidden="false" customHeight="false" outlineLevel="0" collapsed="false">
      <c r="A51" s="6" t="s">
        <v>89</v>
      </c>
      <c r="B51" s="6" t="s">
        <v>60</v>
      </c>
      <c r="C51" s="7" t="n">
        <v>2</v>
      </c>
      <c r="D51" s="8" t="n">
        <v>7.98</v>
      </c>
      <c r="E51" s="8" t="n">
        <f aca="false">C51*D51</f>
        <v>15.96</v>
      </c>
      <c r="F51" s="8" t="n">
        <v>8.28</v>
      </c>
      <c r="G51" s="8" t="n">
        <f aca="false">C51*F51</f>
        <v>16.56</v>
      </c>
      <c r="H51" s="6" t="s">
        <v>90</v>
      </c>
    </row>
    <row r="52" customFormat="false" ht="15" hidden="false" customHeight="false" outlineLevel="0" collapsed="false">
      <c r="A52" s="6" t="s">
        <v>91</v>
      </c>
      <c r="B52" s="6" t="s">
        <v>92</v>
      </c>
      <c r="C52" s="7" t="n">
        <v>2</v>
      </c>
      <c r="D52" s="8" t="n">
        <v>9.98</v>
      </c>
      <c r="E52" s="8" t="n">
        <f aca="false">C52*D52</f>
        <v>19.96</v>
      </c>
      <c r="F52" s="8" t="n">
        <v>10.28</v>
      </c>
      <c r="G52" s="8" t="n">
        <f aca="false">C52*F52</f>
        <v>20.56</v>
      </c>
      <c r="H52" s="6" t="s">
        <v>93</v>
      </c>
    </row>
    <row r="55" customFormat="false" ht="15" hidden="false" customHeight="false" outlineLevel="0" collapsed="false">
      <c r="A55" s="12" t="s">
        <v>94</v>
      </c>
      <c r="B55" s="12"/>
      <c r="C55" s="12"/>
      <c r="D55" s="13"/>
      <c r="E55" s="14" t="n">
        <f aca="false">SUMIF(E7:E53,"&gt;0")</f>
        <v>1826.86</v>
      </c>
      <c r="F55" s="13"/>
      <c r="G55" s="14" t="n">
        <f aca="false">SUMIF(G7:G53,"&gt;0")</f>
        <v>1894.9</v>
      </c>
      <c r="H55" s="13"/>
    </row>
    <row r="56" customFormat="false" ht="15" hidden="false" customHeight="false" outlineLevel="0" collapsed="false">
      <c r="A56" s="15" t="s">
        <v>95</v>
      </c>
      <c r="B56" s="15"/>
      <c r="C56" s="15"/>
      <c r="D56" s="6"/>
      <c r="E56" s="8" t="n">
        <f aca="false">E55*0.0725</f>
        <v>132.44735</v>
      </c>
      <c r="F56" s="6"/>
      <c r="G56" s="8" t="n">
        <f aca="false">G55*0.0725</f>
        <v>137.38025</v>
      </c>
      <c r="H56" s="6"/>
    </row>
    <row r="57" customFormat="false" ht="15" hidden="false" customHeight="false" outlineLevel="0" collapsed="false">
      <c r="A57" s="15" t="s">
        <v>96</v>
      </c>
      <c r="B57" s="15"/>
      <c r="C57" s="15"/>
      <c r="D57" s="6"/>
      <c r="E57" s="8" t="n">
        <f aca="false">E55*0.1</f>
        <v>182.686</v>
      </c>
      <c r="F57" s="6"/>
      <c r="G57" s="8" t="n">
        <f aca="false">G55*0.1</f>
        <v>189.49</v>
      </c>
      <c r="H57" s="6"/>
    </row>
    <row r="58" customFormat="false" ht="15" hidden="false" customHeight="false" outlineLevel="0" collapsed="false">
      <c r="A58" s="16" t="s">
        <v>97</v>
      </c>
      <c r="B58" s="16"/>
      <c r="C58" s="16"/>
      <c r="D58" s="17"/>
      <c r="E58" s="18" t="n">
        <f aca="false">E55+E56+E57</f>
        <v>2141.99335</v>
      </c>
      <c r="F58" s="17"/>
      <c r="G58" s="18" t="n">
        <f aca="false">G55+G56+G57</f>
        <v>2221.77025</v>
      </c>
      <c r="H58" s="17"/>
    </row>
    <row r="61" customFormat="false" ht="15" hidden="false" customHeight="false" outlineLevel="0" collapsed="false">
      <c r="A61" s="19" t="s">
        <v>98</v>
      </c>
      <c r="B61" s="19"/>
      <c r="C61" s="19"/>
      <c r="D61" s="19"/>
      <c r="E61" s="19"/>
      <c r="F61" s="19"/>
      <c r="G61" s="19"/>
      <c r="H61" s="19"/>
    </row>
    <row r="62" customFormat="false" ht="15" hidden="false" customHeight="false" outlineLevel="0" collapsed="false">
      <c r="A62" s="20" t="s">
        <v>99</v>
      </c>
      <c r="B62" s="20"/>
      <c r="C62" s="20"/>
      <c r="D62" s="20"/>
      <c r="E62" s="20"/>
      <c r="F62" s="20"/>
      <c r="G62" s="20"/>
      <c r="H62" s="20"/>
    </row>
    <row r="63" customFormat="false" ht="15" hidden="false" customHeight="false" outlineLevel="0" collapsed="false">
      <c r="A63" s="20" t="s">
        <v>100</v>
      </c>
      <c r="B63" s="20"/>
      <c r="C63" s="20"/>
      <c r="D63" s="20"/>
      <c r="E63" s="20"/>
      <c r="F63" s="20"/>
      <c r="G63" s="20"/>
      <c r="H63" s="20"/>
    </row>
    <row r="64" customFormat="false" ht="15" hidden="false" customHeight="false" outlineLevel="0" collapsed="false">
      <c r="A64" s="20" t="s">
        <v>101</v>
      </c>
      <c r="B64" s="20"/>
      <c r="C64" s="20"/>
      <c r="D64" s="20"/>
      <c r="E64" s="20"/>
      <c r="F64" s="20"/>
      <c r="G64" s="20"/>
      <c r="H64" s="20"/>
    </row>
    <row r="65" customFormat="false" ht="15" hidden="false" customHeight="false" outlineLevel="0" collapsed="false">
      <c r="A65" s="20" t="s">
        <v>102</v>
      </c>
      <c r="B65" s="20"/>
      <c r="C65" s="20"/>
      <c r="D65" s="20"/>
      <c r="E65" s="20"/>
      <c r="F65" s="20"/>
      <c r="G65" s="20"/>
      <c r="H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</row>
    <row r="67" customFormat="false" ht="15" hidden="false" customHeight="false" outlineLevel="0" collapsed="false">
      <c r="A67" s="19" t="s">
        <v>103</v>
      </c>
      <c r="B67" s="19"/>
      <c r="C67" s="19"/>
      <c r="D67" s="19"/>
      <c r="E67" s="19"/>
      <c r="F67" s="19"/>
      <c r="G67" s="19"/>
      <c r="H67" s="19"/>
    </row>
    <row r="68" customFormat="false" ht="15" hidden="false" customHeight="false" outlineLevel="0" collapsed="false">
      <c r="A68" s="20" t="s">
        <v>104</v>
      </c>
      <c r="B68" s="20"/>
      <c r="C68" s="20"/>
      <c r="D68" s="20"/>
      <c r="E68" s="20"/>
      <c r="F68" s="20"/>
      <c r="G68" s="20"/>
      <c r="H68" s="20"/>
    </row>
    <row r="69" customFormat="false" ht="15" hidden="false" customHeight="false" outlineLevel="0" collapsed="false">
      <c r="A69" s="20" t="s">
        <v>105</v>
      </c>
      <c r="B69" s="20"/>
      <c r="C69" s="20"/>
      <c r="D69" s="20"/>
      <c r="E69" s="20"/>
      <c r="F69" s="20"/>
      <c r="G69" s="20"/>
      <c r="H69" s="20"/>
    </row>
    <row r="70" customFormat="false" ht="15" hidden="false" customHeight="false" outlineLevel="0" collapsed="false">
      <c r="A70" s="20" t="s">
        <v>106</v>
      </c>
      <c r="B70" s="20"/>
      <c r="C70" s="20"/>
      <c r="D70" s="20"/>
      <c r="E70" s="20"/>
      <c r="F70" s="20"/>
      <c r="G70" s="20"/>
      <c r="H70" s="20"/>
    </row>
    <row r="71" customFormat="false" ht="15" hidden="false" customHeight="false" outlineLevel="0" collapsed="false">
      <c r="A71" s="20" t="s">
        <v>107</v>
      </c>
      <c r="B71" s="20"/>
      <c r="C71" s="20"/>
      <c r="D71" s="20"/>
      <c r="E71" s="20"/>
      <c r="F71" s="20"/>
      <c r="G71" s="20"/>
      <c r="H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</row>
    <row r="73" customFormat="false" ht="15" hidden="false" customHeight="false" outlineLevel="0" collapsed="false">
      <c r="A73" s="19" t="s">
        <v>108</v>
      </c>
      <c r="B73" s="19"/>
      <c r="C73" s="19"/>
      <c r="D73" s="19"/>
      <c r="E73" s="19"/>
      <c r="F73" s="19"/>
      <c r="G73" s="19"/>
      <c r="H73" s="19"/>
    </row>
    <row r="74" customFormat="false" ht="15" hidden="false" customHeight="false" outlineLevel="0" collapsed="false">
      <c r="A74" s="20" t="s">
        <v>109</v>
      </c>
      <c r="B74" s="20"/>
      <c r="C74" s="20"/>
      <c r="D74" s="20"/>
      <c r="E74" s="20"/>
      <c r="F74" s="20"/>
      <c r="G74" s="20"/>
      <c r="H74" s="20"/>
    </row>
    <row r="75" customFormat="false" ht="15" hidden="false" customHeight="false" outlineLevel="0" collapsed="false">
      <c r="A75" s="20" t="s">
        <v>110</v>
      </c>
      <c r="B75" s="20"/>
      <c r="C75" s="20"/>
      <c r="D75" s="20"/>
      <c r="E75" s="20"/>
      <c r="F75" s="20"/>
      <c r="G75" s="20"/>
      <c r="H75" s="20"/>
    </row>
    <row r="76" customFormat="false" ht="15" hidden="false" customHeight="false" outlineLevel="0" collapsed="false">
      <c r="A76" s="20" t="s">
        <v>111</v>
      </c>
      <c r="B76" s="20"/>
      <c r="C76" s="20"/>
      <c r="D76" s="20"/>
      <c r="E76" s="20"/>
      <c r="F76" s="20"/>
      <c r="G76" s="20"/>
      <c r="H76" s="20"/>
    </row>
    <row r="77" customFormat="false" ht="15" hidden="false" customHeight="false" outlineLevel="0" collapsed="false">
      <c r="A77" s="20" t="s">
        <v>112</v>
      </c>
      <c r="B77" s="20"/>
      <c r="C77" s="20"/>
      <c r="D77" s="20"/>
      <c r="E77" s="20"/>
      <c r="F77" s="20"/>
      <c r="G77" s="20"/>
      <c r="H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</row>
    <row r="79" customFormat="false" ht="15" hidden="false" customHeight="false" outlineLevel="0" collapsed="false">
      <c r="A79" s="19" t="s">
        <v>113</v>
      </c>
      <c r="B79" s="19"/>
      <c r="C79" s="19"/>
      <c r="D79" s="19"/>
      <c r="E79" s="19"/>
      <c r="F79" s="19"/>
      <c r="G79" s="19"/>
      <c r="H79" s="19"/>
    </row>
    <row r="80" customFormat="false" ht="15" hidden="false" customHeight="false" outlineLevel="0" collapsed="false">
      <c r="A80" s="20" t="s">
        <v>114</v>
      </c>
      <c r="B80" s="20"/>
      <c r="C80" s="20"/>
      <c r="D80" s="20"/>
      <c r="E80" s="20"/>
      <c r="F80" s="20"/>
      <c r="G80" s="20"/>
      <c r="H80" s="20"/>
    </row>
    <row r="81" customFormat="false" ht="15" hidden="false" customHeight="false" outlineLevel="0" collapsed="false">
      <c r="A81" s="20" t="s">
        <v>115</v>
      </c>
      <c r="B81" s="20"/>
      <c r="C81" s="20"/>
      <c r="D81" s="20"/>
      <c r="E81" s="20"/>
      <c r="F81" s="20"/>
      <c r="G81" s="20"/>
      <c r="H81" s="20"/>
    </row>
    <row r="82" customFormat="false" ht="15" hidden="false" customHeight="false" outlineLevel="0" collapsed="false">
      <c r="A82" s="20" t="s">
        <v>116</v>
      </c>
      <c r="B82" s="20"/>
      <c r="C82" s="20"/>
      <c r="D82" s="20"/>
      <c r="E82" s="20"/>
      <c r="F82" s="20"/>
      <c r="G82" s="20"/>
      <c r="H82" s="20"/>
    </row>
  </sheetData>
  <mergeCells count="38">
    <mergeCell ref="A1:H1"/>
    <mergeCell ref="A2:H2"/>
    <mergeCell ref="A3:H3"/>
    <mergeCell ref="A6:H6"/>
    <mergeCell ref="A11:H11"/>
    <mergeCell ref="A15:H15"/>
    <mergeCell ref="A20:H20"/>
    <mergeCell ref="A26:H26"/>
    <mergeCell ref="A30:H30"/>
    <mergeCell ref="A36:H36"/>
    <mergeCell ref="A41:H41"/>
    <mergeCell ref="A45:H45"/>
    <mergeCell ref="A55:C55"/>
    <mergeCell ref="A56:C56"/>
    <mergeCell ref="A57:C57"/>
    <mergeCell ref="A58:C58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2026-01-25T03:22:13Z</dcterms:created>
  <dc:creator>openpyxl</dc:creator>
  <dc:description/>
  <dc:language>en-US</dc:language>
  <cp:lastModifiedBy/>
  <dcterms:modified xsi:type="dcterms:W3CDTF">2026-01-25T03:22:13Z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